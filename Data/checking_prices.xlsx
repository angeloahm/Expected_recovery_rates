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AXA11\Documents\Research\Recovery Rates Projec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4" i="1" s="1"/>
  <c r="K8" i="1" s="1"/>
  <c r="K4" i="1"/>
  <c r="J4" i="1"/>
  <c r="I4" i="1"/>
  <c r="H4" i="1"/>
  <c r="K5" i="1"/>
  <c r="J5" i="1"/>
  <c r="I5" i="1"/>
  <c r="H5" i="1"/>
  <c r="G5" i="1"/>
  <c r="E2" i="1"/>
</calcChain>
</file>

<file path=xl/sharedStrings.xml><?xml version="1.0" encoding="utf-8"?>
<sst xmlns="http://schemas.openxmlformats.org/spreadsheetml/2006/main" count="17" uniqueCount="17">
  <si>
    <t>US465410BW75</t>
  </si>
  <si>
    <t>9/16/2010</t>
  </si>
  <si>
    <t>9/16/2013</t>
  </si>
  <si>
    <t>ISIN</t>
  </si>
  <si>
    <t>Issued</t>
  </si>
  <si>
    <t>Maturity</t>
  </si>
  <si>
    <t>Interest</t>
  </si>
  <si>
    <t>Coupon</t>
  </si>
  <si>
    <t>Principal</t>
  </si>
  <si>
    <t>Coupon_1</t>
  </si>
  <si>
    <t>Coupon_2</t>
  </si>
  <si>
    <t>Coupon_3</t>
  </si>
  <si>
    <t>Coupon_4</t>
  </si>
  <si>
    <t>Coupon_5</t>
  </si>
  <si>
    <t>t</t>
  </si>
  <si>
    <t>Yield (duration)</t>
  </si>
  <si>
    <t>Yield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</si>
</sst>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1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tabSelected="1" workbookViewId="0">
      <selection activeCell="G14" sqref="G14"/>
    </sheetView>
  </sheetViews>
  <sheetFormatPr defaultRowHeight="15" x14ac:dyDescent="0.25"/>
  <cols>
    <col min="1" max="1" width="14.42578125" bestFit="1" customWidth="1"/>
    <col min="2" max="3" width="15" bestFit="1" customWidth="1"/>
    <col min="4" max="4" width="8" bestFit="1" customWidth="1"/>
    <col min="5" max="5" width="7.85546875" bestFit="1" customWidth="1"/>
    <col min="6" max="6" width="8.7109375" bestFit="1" customWidth="1"/>
    <col min="7" max="11" width="10.7109375" bestFit="1" customWidth="1"/>
    <col min="15" max="15" width="10.7109375" bestFit="1" customWidth="1"/>
    <col min="16" max="16" width="9.42578125" bestFit="1" customWidth="1"/>
  </cols>
  <sheetData>
    <row r="1" spans="1:66" s="6" customFormat="1" x14ac:dyDescent="0.25">
      <c r="A1" s="3" t="s">
        <v>3</v>
      </c>
      <c r="B1" s="7" t="s">
        <v>4</v>
      </c>
      <c r="C1" s="8" t="s">
        <v>5</v>
      </c>
      <c r="D1" s="9" t="s">
        <v>6</v>
      </c>
      <c r="E1" s="9" t="s">
        <v>7</v>
      </c>
      <c r="F1" s="9" t="s">
        <v>8</v>
      </c>
      <c r="G1" s="9" t="s">
        <v>9</v>
      </c>
      <c r="H1" s="9" t="s">
        <v>10</v>
      </c>
      <c r="I1" s="9" t="s">
        <v>11</v>
      </c>
      <c r="J1" s="9" t="s">
        <v>12</v>
      </c>
      <c r="K1" s="9" t="s">
        <v>13</v>
      </c>
      <c r="L1" s="9"/>
      <c r="M1" s="9"/>
      <c r="N1" s="9"/>
      <c r="O1" s="9" t="s">
        <v>14</v>
      </c>
      <c r="P1" s="9" t="s">
        <v>16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s="6" customFormat="1" ht="15.75" customHeight="1" x14ac:dyDescent="0.25">
      <c r="A2" s="1" t="s">
        <v>0</v>
      </c>
      <c r="B2" s="2" t="s">
        <v>1</v>
      </c>
      <c r="C2" s="2" t="s">
        <v>2</v>
      </c>
      <c r="D2" s="2">
        <v>2.125</v>
      </c>
      <c r="E2" s="3">
        <f t="shared" ref="E2" si="0">D2/2</f>
        <v>1.0625</v>
      </c>
      <c r="F2" s="4">
        <v>100</v>
      </c>
      <c r="G2" s="5">
        <v>40618</v>
      </c>
      <c r="H2" s="5">
        <v>40802</v>
      </c>
      <c r="I2" s="5">
        <v>40984</v>
      </c>
      <c r="J2" s="5">
        <v>41168</v>
      </c>
      <c r="K2" s="5">
        <v>41349</v>
      </c>
      <c r="L2" s="5"/>
      <c r="M2" s="5"/>
      <c r="N2" s="5"/>
      <c r="O2" s="5">
        <v>40740</v>
      </c>
      <c r="P2" s="3">
        <v>2.91732742818706E-3</v>
      </c>
      <c r="Q2" s="5"/>
    </row>
    <row r="4" spans="1:66" x14ac:dyDescent="0.25">
      <c r="B4" s="9" t="s">
        <v>15</v>
      </c>
      <c r="C4">
        <f>$F$2/(1+P2)^C5</f>
        <v>92.705712902661759</v>
      </c>
      <c r="H4">
        <f>$E$2/(1+$P$2)^H5</f>
        <v>1.0563277022490565</v>
      </c>
      <c r="I4">
        <f t="shared" ref="I4:K4" si="1">$E$2/(1+$P$2)^I5</f>
        <v>1.0380251144843811</v>
      </c>
      <c r="J4">
        <f t="shared" si="1"/>
        <v>1.0200396486868477</v>
      </c>
      <c r="K4">
        <f>$E$2/(1+$P$2)^K5</f>
        <v>1.002365810204916</v>
      </c>
    </row>
    <row r="5" spans="1:66" x14ac:dyDescent="0.25">
      <c r="C5" s="10">
        <f>ROUND((C2-$O$2)/30,0)</f>
        <v>26</v>
      </c>
      <c r="G5" s="10">
        <f t="shared" ref="G5:K5" si="2">ROUND((G2-$O$2)/30,0)</f>
        <v>-4</v>
      </c>
      <c r="H5" s="10">
        <f t="shared" si="2"/>
        <v>2</v>
      </c>
      <c r="I5" s="10">
        <f t="shared" si="2"/>
        <v>8</v>
      </c>
      <c r="J5" s="10">
        <f t="shared" si="2"/>
        <v>14</v>
      </c>
      <c r="K5" s="10">
        <f t="shared" si="2"/>
        <v>20</v>
      </c>
    </row>
    <row r="8" spans="1:66" x14ac:dyDescent="0.25">
      <c r="K8">
        <f>SUM(C4:K4)</f>
        <v>96.82247117828696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Avelar Hermeto Mendes</dc:creator>
  <cp:lastModifiedBy>Angelo Avelar Hermeto Mendes</cp:lastModifiedBy>
  <dcterms:created xsi:type="dcterms:W3CDTF">2024-02-19T15:17:24Z</dcterms:created>
  <dcterms:modified xsi:type="dcterms:W3CDTF">2024-02-19T16:34:00Z</dcterms:modified>
</cp:coreProperties>
</file>