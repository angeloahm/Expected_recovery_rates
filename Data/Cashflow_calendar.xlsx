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AXA11\Desktop\Repositories\Expected_recovery_rates\Data\"/>
    </mc:Choice>
  </mc:AlternateContent>
  <bookViews>
    <workbookView xWindow="0" yWindow="0" windowWidth="25125" windowHeight="12300"/>
  </bookViews>
  <sheets>
    <sheet name="Sheet1" sheetId="1" r:id="rId1"/>
    <sheet name="Sheet2" sheetId="2" r:id="rId2"/>
  </sheets>
  <definedNames>
    <definedName name="_xlnm._FilterDatabase" localSheetId="0" hidden="1">Sheet1!$A$1:$BO$23</definedName>
  </definedNames>
  <calcPr calcId="162913"/>
  <extLst>
    <ext uri="GoogleSheetsCustomDataVersion2">
      <go:sheetsCustomData xmlns:go="http://customooxmlschemas.google.com/" r:id="rId6" roundtripDataChecksum="u7h6s4QwkdQSchSbtDNSejd42cs/Az6Z2XUV1xeOMaY="/>
    </ext>
  </extLst>
</workbook>
</file>

<file path=xl/calcChain.xml><?xml version="1.0" encoding="utf-8"?>
<calcChain xmlns="http://schemas.openxmlformats.org/spreadsheetml/2006/main">
  <c r="E23" i="1" l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<sst xmlns="http://schemas.openxmlformats.org/spreadsheetml/2006/main" count="134" uniqueCount="131">
  <si>
    <t>ISIN</t>
  </si>
  <si>
    <t>Issued</t>
  </si>
  <si>
    <t>Maturity</t>
  </si>
  <si>
    <t>Interest</t>
  </si>
  <si>
    <t>Coupon</t>
  </si>
  <si>
    <t>Principal</t>
  </si>
  <si>
    <t>Coupon_1</t>
  </si>
  <si>
    <t>Coupon_2</t>
  </si>
  <si>
    <t>Coupon_3</t>
  </si>
  <si>
    <t>Coupon_4</t>
  </si>
  <si>
    <t>Coupon_5</t>
  </si>
  <si>
    <t>Coupon_6</t>
  </si>
  <si>
    <t>Coupon_7</t>
  </si>
  <si>
    <t>Coupon_8</t>
  </si>
  <si>
    <t>Coupon_9</t>
  </si>
  <si>
    <t>Coupon_10</t>
  </si>
  <si>
    <t>Coupon_11</t>
  </si>
  <si>
    <t>Coupon_12</t>
  </si>
  <si>
    <t>Coupon_13</t>
  </si>
  <si>
    <t>Coupon_14</t>
  </si>
  <si>
    <t>Coupon_15</t>
  </si>
  <si>
    <t>Coupon_16</t>
  </si>
  <si>
    <t>Coupon_17</t>
  </si>
  <si>
    <t>Coupon_18</t>
  </si>
  <si>
    <t>Coupon_19</t>
  </si>
  <si>
    <t>Coupon_20</t>
  </si>
  <si>
    <t>Coupon_21</t>
  </si>
  <si>
    <t>Coupon_22</t>
  </si>
  <si>
    <t>Coupon_23</t>
  </si>
  <si>
    <t>Coupon_24</t>
  </si>
  <si>
    <t>Coupon_25</t>
  </si>
  <si>
    <t>Coupon_26</t>
  </si>
  <si>
    <t>Coupon_27</t>
  </si>
  <si>
    <t>Coupon_28</t>
  </si>
  <si>
    <t>Coupon_29</t>
  </si>
  <si>
    <t>Coupon_30</t>
  </si>
  <si>
    <t>Coupon_31</t>
  </si>
  <si>
    <t>Coupon_32</t>
  </si>
  <si>
    <t>Coupon_33</t>
  </si>
  <si>
    <t>Coupon_34</t>
  </si>
  <si>
    <t>Coupon_35</t>
  </si>
  <si>
    <t>Coupon_36</t>
  </si>
  <si>
    <t>Coupon_37</t>
  </si>
  <si>
    <t>Coupon_38</t>
  </si>
  <si>
    <t>Coupon_39</t>
  </si>
  <si>
    <t>Coupon_40</t>
  </si>
  <si>
    <t>Coupon_41</t>
  </si>
  <si>
    <t>Coupon_42</t>
  </si>
  <si>
    <t>Coupon_43</t>
  </si>
  <si>
    <t>Coupon_44</t>
  </si>
  <si>
    <t>Coupon_45</t>
  </si>
  <si>
    <t>Coupon_46</t>
  </si>
  <si>
    <t>Coupon_47</t>
  </si>
  <si>
    <t>Coupon_48</t>
  </si>
  <si>
    <t>Coupon_49</t>
  </si>
  <si>
    <t>Coupon_50</t>
  </si>
  <si>
    <t>Coupon_51</t>
  </si>
  <si>
    <t>Coupon_52</t>
  </si>
  <si>
    <t>Coupon_53</t>
  </si>
  <si>
    <t>Coupon_54</t>
  </si>
  <si>
    <t>Coupon_55</t>
  </si>
  <si>
    <t>Coupon_56</t>
  </si>
  <si>
    <t>Coupon_57</t>
  </si>
  <si>
    <t>Coupon_58</t>
  </si>
  <si>
    <t>Coupon_59</t>
  </si>
  <si>
    <t>US465410BN76</t>
  </si>
  <si>
    <t>1/21/2015</t>
  </si>
  <si>
    <t>US465410BQ08</t>
  </si>
  <si>
    <t>1/25/2006</t>
  </si>
  <si>
    <t>1/25/2016</t>
  </si>
  <si>
    <t>US465410BV92</t>
  </si>
  <si>
    <t>1/26/2010</t>
  </si>
  <si>
    <t>US465410BX58</t>
  </si>
  <si>
    <t>10/17/2019</t>
  </si>
  <si>
    <t>10/17/2024</t>
  </si>
  <si>
    <t>US465410BY32</t>
  </si>
  <si>
    <t>US465410BZ07</t>
  </si>
  <si>
    <t>US465410AZ16</t>
  </si>
  <si>
    <t>10/25/2001</t>
  </si>
  <si>
    <t>US465410BU10</t>
  </si>
  <si>
    <t>10/5/2009</t>
  </si>
  <si>
    <t>10/5/2012</t>
  </si>
  <si>
    <t>US465410BM93</t>
  </si>
  <si>
    <t>6/30/2004</t>
  </si>
  <si>
    <t>US465410AW84</t>
  </si>
  <si>
    <t>2/22/2001</t>
  </si>
  <si>
    <t>US465410BE77</t>
  </si>
  <si>
    <t>1/30/2003</t>
  </si>
  <si>
    <t>3/31/2006</t>
  </si>
  <si>
    <t>US465410AX67</t>
  </si>
  <si>
    <t>4/5/2001</t>
  </si>
  <si>
    <t>4/5/2006</t>
  </si>
  <si>
    <t>US465410AT55</t>
  </si>
  <si>
    <t>5/2/2000</t>
  </si>
  <si>
    <t>5/2/2002</t>
  </si>
  <si>
    <t>US465410CD85</t>
  </si>
  <si>
    <t>5/6/2021</t>
  </si>
  <si>
    <t>5/6/2024</t>
  </si>
  <si>
    <t>US465410CC03</t>
  </si>
  <si>
    <t>5/6/2051</t>
  </si>
  <si>
    <t>US465410BS63</t>
  </si>
  <si>
    <t>6/12/2007</t>
  </si>
  <si>
    <t>6/12/2017</t>
  </si>
  <si>
    <t>US465410BB39</t>
  </si>
  <si>
    <t>3/22/2002</t>
  </si>
  <si>
    <t>6/15/2005</t>
  </si>
  <si>
    <t>US465410BA55</t>
  </si>
  <si>
    <t>3/1/2002</t>
  </si>
  <si>
    <t>6/15/2012</t>
  </si>
  <si>
    <t>US465410BF43</t>
  </si>
  <si>
    <t>2/27/2003</t>
  </si>
  <si>
    <t>6/15/2013</t>
  </si>
  <si>
    <t>US465410BG26</t>
  </si>
  <si>
    <t>6/15/2033</t>
  </si>
  <si>
    <t>US465410BD94</t>
  </si>
  <si>
    <t>9/4/2002</t>
  </si>
  <si>
    <t>9/14/2007</t>
  </si>
  <si>
    <t>US465410BW75</t>
  </si>
  <si>
    <t>9/16/2010</t>
  </si>
  <si>
    <t>9/16/2013</t>
  </si>
  <si>
    <t>Dropped Bonds:</t>
  </si>
  <si>
    <t>US465410BP25</t>
  </si>
  <si>
    <t>US465410BH09</t>
  </si>
  <si>
    <t>US465410BT47</t>
  </si>
  <si>
    <t>US465410AH18</t>
  </si>
  <si>
    <t>XS0144129649</t>
  </si>
  <si>
    <t>XS0127540515</t>
  </si>
  <si>
    <t>US465410BK38</t>
  </si>
  <si>
    <t>XS0110913935</t>
  </si>
  <si>
    <t>US465410CA47</t>
  </si>
  <si>
    <t>XS0137815246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</si>
</sst>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trike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14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O991"/>
  <sheetViews>
    <sheetView tabSelected="1" workbookViewId="0">
      <selection activeCell="C4" sqref="C4"/>
    </sheetView>
  </sheetViews>
  <sheetFormatPr defaultColWidth="14.42578125" defaultRowHeight="15" customHeight="1" x14ac:dyDescent="0.25"/>
  <cols>
    <col min="1" max="1" width="15" customWidth="1"/>
    <col min="2" max="3" width="11.28515625" customWidth="1"/>
    <col min="4" max="5" width="7.7109375" customWidth="1"/>
    <col min="6" max="6" width="8.42578125" customWidth="1"/>
    <col min="7" max="27" width="11.28515625" customWidth="1"/>
    <col min="28" max="47" width="11" customWidth="1"/>
    <col min="48" max="64" width="9.7109375" customWidth="1"/>
    <col min="65" max="67" width="8.7109375" customWidth="1"/>
  </cols>
  <sheetData>
    <row r="1" spans="1:67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/>
      <c r="BO1" s="4"/>
    </row>
    <row r="2" spans="1:67" hidden="1" x14ac:dyDescent="0.25">
      <c r="A2" s="1" t="s">
        <v>65</v>
      </c>
      <c r="B2" s="4">
        <v>38373</v>
      </c>
      <c r="C2" s="5" t="s">
        <v>66</v>
      </c>
      <c r="D2" s="1">
        <v>4.5</v>
      </c>
      <c r="E2" s="1">
        <v>2.25</v>
      </c>
      <c r="F2" s="1">
        <v>100</v>
      </c>
      <c r="G2" s="4">
        <v>38554</v>
      </c>
      <c r="H2" s="4">
        <v>38738</v>
      </c>
      <c r="I2" s="4">
        <v>38919</v>
      </c>
      <c r="J2" s="4">
        <v>39103</v>
      </c>
      <c r="K2" s="4">
        <v>39284</v>
      </c>
      <c r="L2" s="4">
        <v>39468</v>
      </c>
      <c r="M2" s="4">
        <v>39650</v>
      </c>
      <c r="N2" s="4">
        <v>39834</v>
      </c>
      <c r="O2" s="4">
        <v>40015</v>
      </c>
      <c r="P2" s="4">
        <v>40199</v>
      </c>
      <c r="Q2" s="4">
        <v>40380</v>
      </c>
      <c r="R2" s="4">
        <v>40564</v>
      </c>
      <c r="S2" s="4">
        <v>40745</v>
      </c>
      <c r="T2" s="4">
        <v>40929</v>
      </c>
      <c r="U2" s="4">
        <v>41111</v>
      </c>
      <c r="V2" s="4">
        <v>41295</v>
      </c>
      <c r="W2" s="4">
        <v>41476</v>
      </c>
      <c r="X2" s="4">
        <v>41660</v>
      </c>
      <c r="Y2" s="4">
        <v>41841</v>
      </c>
    </row>
    <row r="3" spans="1:67" hidden="1" x14ac:dyDescent="0.25">
      <c r="A3" s="1" t="s">
        <v>67</v>
      </c>
      <c r="B3" s="5" t="s">
        <v>68</v>
      </c>
      <c r="C3" s="6" t="s">
        <v>69</v>
      </c>
      <c r="D3" s="7">
        <v>4.75</v>
      </c>
      <c r="E3" s="1">
        <f t="shared" ref="E3:E23" si="0">D3/2</f>
        <v>2.375</v>
      </c>
      <c r="F3" s="7">
        <v>100</v>
      </c>
      <c r="G3" s="8">
        <v>38923</v>
      </c>
      <c r="H3" s="8">
        <v>39107</v>
      </c>
      <c r="I3" s="8">
        <v>39288</v>
      </c>
      <c r="J3" s="8">
        <v>39472</v>
      </c>
      <c r="K3" s="8">
        <v>39654</v>
      </c>
      <c r="L3" s="8">
        <v>39838</v>
      </c>
      <c r="M3" s="8">
        <v>40019</v>
      </c>
      <c r="N3" s="8">
        <v>40203</v>
      </c>
      <c r="O3" s="8">
        <v>40384</v>
      </c>
      <c r="P3" s="8">
        <v>40568</v>
      </c>
      <c r="Q3" s="8">
        <v>40749</v>
      </c>
      <c r="R3" s="8">
        <v>40933</v>
      </c>
      <c r="S3" s="8">
        <v>41115</v>
      </c>
      <c r="T3" s="8">
        <v>41299</v>
      </c>
      <c r="U3" s="8">
        <v>41480</v>
      </c>
      <c r="V3" s="8">
        <v>41664</v>
      </c>
      <c r="W3" s="8">
        <v>41845</v>
      </c>
      <c r="X3" s="8">
        <v>42029</v>
      </c>
      <c r="Y3" s="8">
        <v>42210</v>
      </c>
      <c r="Z3" s="8"/>
      <c r="AA3" s="8"/>
    </row>
    <row r="4" spans="1:67" x14ac:dyDescent="0.25">
      <c r="A4" s="1" t="s">
        <v>70</v>
      </c>
      <c r="B4" s="5" t="s">
        <v>71</v>
      </c>
      <c r="C4" s="8">
        <v>42030</v>
      </c>
      <c r="D4" s="7">
        <v>3.125</v>
      </c>
      <c r="E4" s="1">
        <f t="shared" si="0"/>
        <v>1.5625</v>
      </c>
      <c r="F4" s="7">
        <v>100</v>
      </c>
      <c r="G4" s="8">
        <v>40385</v>
      </c>
      <c r="H4" s="8">
        <v>40569</v>
      </c>
      <c r="I4" s="8">
        <v>40750</v>
      </c>
      <c r="J4" s="8">
        <v>40934</v>
      </c>
      <c r="K4" s="8">
        <v>41116</v>
      </c>
      <c r="L4" s="8">
        <v>41300</v>
      </c>
      <c r="M4" s="8">
        <v>41481</v>
      </c>
      <c r="N4" s="8">
        <v>41665</v>
      </c>
      <c r="O4" s="8">
        <v>41846</v>
      </c>
      <c r="P4" s="8"/>
      <c r="Q4" s="8"/>
    </row>
    <row r="5" spans="1:67" hidden="1" x14ac:dyDescent="0.25">
      <c r="A5" s="1" t="s">
        <v>72</v>
      </c>
      <c r="B5" s="5" t="s">
        <v>73</v>
      </c>
      <c r="C5" s="5" t="s">
        <v>74</v>
      </c>
      <c r="D5" s="7">
        <v>2.375</v>
      </c>
      <c r="E5" s="1">
        <f t="shared" si="0"/>
        <v>1.1875</v>
      </c>
      <c r="F5" s="7">
        <v>100</v>
      </c>
      <c r="G5" s="8">
        <v>43938</v>
      </c>
      <c r="H5" s="9">
        <v>44121</v>
      </c>
      <c r="I5" s="8">
        <v>44303</v>
      </c>
      <c r="J5" s="9">
        <v>44486</v>
      </c>
      <c r="K5" s="8">
        <v>44668</v>
      </c>
      <c r="L5" s="9">
        <v>44851</v>
      </c>
      <c r="M5" s="8">
        <v>45033</v>
      </c>
      <c r="N5" s="9">
        <v>45216</v>
      </c>
      <c r="O5" s="8">
        <v>45399</v>
      </c>
      <c r="P5" s="9"/>
    </row>
    <row r="6" spans="1:67" hidden="1" x14ac:dyDescent="0.25">
      <c r="A6" s="1" t="s">
        <v>75</v>
      </c>
      <c r="B6" s="5" t="s">
        <v>73</v>
      </c>
      <c r="C6" s="10">
        <v>47408</v>
      </c>
      <c r="D6" s="7">
        <v>2.875</v>
      </c>
      <c r="E6" s="1">
        <f t="shared" si="0"/>
        <v>1.4375</v>
      </c>
      <c r="F6" s="7">
        <v>100</v>
      </c>
      <c r="G6" s="8">
        <v>43938</v>
      </c>
      <c r="H6" s="9">
        <v>44121</v>
      </c>
      <c r="I6" s="8">
        <v>44303</v>
      </c>
      <c r="J6" s="9">
        <v>44486</v>
      </c>
      <c r="K6" s="8">
        <v>44668</v>
      </c>
      <c r="L6" s="9">
        <v>44851</v>
      </c>
      <c r="M6" s="8">
        <v>45033</v>
      </c>
      <c r="N6" s="9">
        <v>45216</v>
      </c>
      <c r="O6" s="8">
        <v>45399</v>
      </c>
      <c r="P6" s="8">
        <v>45582</v>
      </c>
      <c r="Q6" s="9">
        <v>45764</v>
      </c>
      <c r="R6" s="8">
        <v>45947</v>
      </c>
      <c r="S6" s="9">
        <v>46129</v>
      </c>
      <c r="T6" s="8">
        <v>46312</v>
      </c>
      <c r="U6" s="9">
        <v>46494</v>
      </c>
      <c r="V6" s="8">
        <v>46677</v>
      </c>
      <c r="W6" s="9">
        <v>46860</v>
      </c>
      <c r="X6" s="8">
        <v>47043</v>
      </c>
      <c r="Y6" s="8">
        <v>47225</v>
      </c>
    </row>
    <row r="7" spans="1:67" hidden="1" x14ac:dyDescent="0.25">
      <c r="A7" s="1" t="s">
        <v>76</v>
      </c>
      <c r="B7" s="10">
        <v>43755</v>
      </c>
      <c r="C7" s="9">
        <v>54713</v>
      </c>
      <c r="D7" s="7">
        <v>4</v>
      </c>
      <c r="E7" s="1">
        <f t="shared" si="0"/>
        <v>2</v>
      </c>
      <c r="F7" s="7">
        <v>100</v>
      </c>
      <c r="G7" s="8">
        <v>43938</v>
      </c>
      <c r="H7" s="9">
        <v>44121</v>
      </c>
      <c r="I7" s="8">
        <v>44303</v>
      </c>
      <c r="J7" s="9">
        <v>44486</v>
      </c>
      <c r="K7" s="8">
        <v>44668</v>
      </c>
      <c r="L7" s="9">
        <v>44851</v>
      </c>
      <c r="M7" s="8">
        <v>45033</v>
      </c>
      <c r="N7" s="9">
        <v>45216</v>
      </c>
      <c r="O7" s="8">
        <v>45399</v>
      </c>
      <c r="P7" s="8">
        <v>45582</v>
      </c>
      <c r="Q7" s="8">
        <v>45764</v>
      </c>
      <c r="R7" s="9">
        <v>45947</v>
      </c>
      <c r="S7" s="8">
        <v>46129</v>
      </c>
      <c r="T7" s="9">
        <v>46312</v>
      </c>
      <c r="U7" s="8">
        <v>46494</v>
      </c>
      <c r="V7" s="9">
        <v>46677</v>
      </c>
      <c r="W7" s="8">
        <v>46860</v>
      </c>
      <c r="X7" s="9">
        <v>47043</v>
      </c>
      <c r="Y7" s="8">
        <v>47225</v>
      </c>
      <c r="Z7" s="8">
        <v>47408</v>
      </c>
      <c r="AA7" s="8">
        <v>47590</v>
      </c>
      <c r="AB7" s="9">
        <v>47773</v>
      </c>
      <c r="AC7" s="8">
        <v>47955</v>
      </c>
      <c r="AD7" s="9">
        <v>48138</v>
      </c>
      <c r="AE7" s="8">
        <v>48321</v>
      </c>
      <c r="AF7" s="9">
        <v>48504</v>
      </c>
      <c r="AG7" s="8">
        <v>48686</v>
      </c>
      <c r="AH7" s="9">
        <v>48869</v>
      </c>
      <c r="AI7" s="8">
        <v>49051</v>
      </c>
      <c r="AJ7" s="8">
        <v>49234</v>
      </c>
      <c r="AK7" s="9">
        <v>49416</v>
      </c>
      <c r="AL7" s="8">
        <v>49599</v>
      </c>
      <c r="AM7" s="9">
        <v>49782</v>
      </c>
      <c r="AN7" s="8">
        <v>49965</v>
      </c>
      <c r="AO7" s="9">
        <v>50147</v>
      </c>
      <c r="AP7" s="8">
        <v>50330</v>
      </c>
      <c r="AQ7" s="8">
        <v>50512</v>
      </c>
      <c r="AR7" s="9">
        <v>50695</v>
      </c>
      <c r="AS7" s="8">
        <v>50877</v>
      </c>
      <c r="AT7" s="9">
        <v>51060</v>
      </c>
      <c r="AU7" s="8">
        <v>51243</v>
      </c>
      <c r="AV7" s="9">
        <v>51426</v>
      </c>
      <c r="AW7" s="8">
        <v>51608</v>
      </c>
      <c r="AX7" s="8">
        <v>51791</v>
      </c>
      <c r="AY7" s="9">
        <v>51973</v>
      </c>
      <c r="AZ7" s="8">
        <v>52156</v>
      </c>
      <c r="BA7" s="9">
        <v>52338</v>
      </c>
      <c r="BB7" s="8">
        <v>52521</v>
      </c>
      <c r="BC7" s="9">
        <v>52704</v>
      </c>
      <c r="BD7" s="8">
        <v>52887</v>
      </c>
      <c r="BE7" s="9">
        <v>53069</v>
      </c>
      <c r="BF7" s="8">
        <v>53252</v>
      </c>
      <c r="BG7" s="8">
        <v>53434</v>
      </c>
      <c r="BH7" s="9">
        <v>53617</v>
      </c>
      <c r="BI7" s="8">
        <v>53799</v>
      </c>
      <c r="BJ7" s="9">
        <v>53982</v>
      </c>
      <c r="BK7" s="9">
        <v>54165</v>
      </c>
      <c r="BL7" s="8">
        <v>54348</v>
      </c>
      <c r="BM7" s="9">
        <v>54530</v>
      </c>
      <c r="BN7" s="9"/>
      <c r="BO7" s="8"/>
    </row>
    <row r="8" spans="1:67" hidden="1" x14ac:dyDescent="0.25">
      <c r="A8" s="1" t="s">
        <v>77</v>
      </c>
      <c r="B8" s="5" t="s">
        <v>78</v>
      </c>
      <c r="C8" s="9">
        <v>39015</v>
      </c>
      <c r="D8" s="7">
        <v>4.375</v>
      </c>
      <c r="E8" s="1">
        <f t="shared" si="0"/>
        <v>2.1875</v>
      </c>
      <c r="F8" s="7">
        <v>100</v>
      </c>
      <c r="G8" s="8">
        <v>37371</v>
      </c>
      <c r="H8" s="9">
        <v>37554</v>
      </c>
      <c r="I8" s="8">
        <v>37736</v>
      </c>
      <c r="J8" s="9">
        <v>37919</v>
      </c>
      <c r="K8" s="8">
        <v>38102</v>
      </c>
      <c r="L8" s="9">
        <v>38285</v>
      </c>
      <c r="M8" s="8">
        <v>38467</v>
      </c>
      <c r="N8" s="9">
        <v>38650</v>
      </c>
      <c r="O8" s="8">
        <v>38832</v>
      </c>
      <c r="P8" s="9"/>
      <c r="Q8" s="8"/>
    </row>
    <row r="9" spans="1:67" hidden="1" x14ac:dyDescent="0.25">
      <c r="A9" s="1" t="s">
        <v>79</v>
      </c>
      <c r="B9" s="5" t="s">
        <v>80</v>
      </c>
      <c r="C9" s="5" t="s">
        <v>81</v>
      </c>
      <c r="D9" s="7">
        <v>2.125</v>
      </c>
      <c r="E9" s="1">
        <f t="shared" si="0"/>
        <v>1.0625</v>
      </c>
      <c r="F9" s="7">
        <v>100</v>
      </c>
      <c r="G9" s="8">
        <v>40273</v>
      </c>
      <c r="H9" s="8">
        <v>40456</v>
      </c>
      <c r="I9" s="8">
        <v>40638</v>
      </c>
      <c r="J9" s="8">
        <v>40821</v>
      </c>
      <c r="K9" s="8">
        <v>41004</v>
      </c>
      <c r="L9" s="8"/>
      <c r="M9" s="8"/>
      <c r="N9" s="8"/>
      <c r="O9" s="8"/>
      <c r="P9" s="8"/>
      <c r="Q9" s="8"/>
    </row>
    <row r="10" spans="1:67" hidden="1" x14ac:dyDescent="0.25">
      <c r="A10" s="1" t="s">
        <v>82</v>
      </c>
      <c r="B10" s="5" t="s">
        <v>83</v>
      </c>
      <c r="C10" s="9">
        <v>39430</v>
      </c>
      <c r="D10" s="7">
        <v>3.75</v>
      </c>
      <c r="E10" s="1">
        <f t="shared" si="0"/>
        <v>1.875</v>
      </c>
      <c r="F10" s="7">
        <v>100</v>
      </c>
      <c r="G10" s="9">
        <v>38335</v>
      </c>
      <c r="H10" s="8">
        <v>38517</v>
      </c>
      <c r="I10" s="9">
        <v>38700</v>
      </c>
      <c r="J10" s="8">
        <v>38882</v>
      </c>
      <c r="K10" s="9">
        <v>39065</v>
      </c>
      <c r="L10" s="8">
        <v>39247</v>
      </c>
      <c r="M10" s="9"/>
      <c r="N10" s="8"/>
      <c r="O10" s="9"/>
      <c r="P10" s="8"/>
    </row>
    <row r="11" spans="1:67" hidden="1" x14ac:dyDescent="0.25">
      <c r="A11" s="1" t="s">
        <v>84</v>
      </c>
      <c r="B11" s="5" t="s">
        <v>85</v>
      </c>
      <c r="C11" s="8">
        <v>40596</v>
      </c>
      <c r="D11" s="7">
        <v>6</v>
      </c>
      <c r="E11" s="1">
        <f t="shared" si="0"/>
        <v>3</v>
      </c>
      <c r="F11" s="7">
        <v>100</v>
      </c>
      <c r="G11" s="8">
        <v>37125</v>
      </c>
      <c r="H11" s="8">
        <v>37309</v>
      </c>
      <c r="I11" s="8">
        <v>37490</v>
      </c>
      <c r="J11" s="8">
        <v>37674</v>
      </c>
      <c r="K11" s="8">
        <v>37855</v>
      </c>
      <c r="L11" s="8">
        <v>38039</v>
      </c>
      <c r="M11" s="8">
        <v>38221</v>
      </c>
      <c r="N11" s="8">
        <v>38405</v>
      </c>
      <c r="O11" s="8">
        <v>38586</v>
      </c>
      <c r="P11" s="8">
        <v>38770</v>
      </c>
      <c r="Q11" s="8">
        <v>38951</v>
      </c>
      <c r="R11" s="8">
        <v>39135</v>
      </c>
      <c r="S11" s="8">
        <v>39316</v>
      </c>
      <c r="T11" s="8">
        <v>39500</v>
      </c>
      <c r="U11" s="8">
        <v>39682</v>
      </c>
      <c r="V11" s="8">
        <v>39866</v>
      </c>
      <c r="W11" s="8">
        <v>40047</v>
      </c>
      <c r="X11" s="8">
        <v>40231</v>
      </c>
      <c r="Y11" s="8">
        <v>40412</v>
      </c>
      <c r="Z11" s="8"/>
    </row>
    <row r="12" spans="1:67" hidden="1" x14ac:dyDescent="0.25">
      <c r="A12" s="1" t="s">
        <v>86</v>
      </c>
      <c r="B12" s="5" t="s">
        <v>87</v>
      </c>
      <c r="C12" s="5" t="s">
        <v>88</v>
      </c>
      <c r="D12" s="7">
        <v>2.5</v>
      </c>
      <c r="E12" s="1">
        <f t="shared" si="0"/>
        <v>1.25</v>
      </c>
      <c r="F12" s="7">
        <v>100</v>
      </c>
      <c r="G12" s="8">
        <v>37894</v>
      </c>
      <c r="H12" s="8">
        <v>38077</v>
      </c>
      <c r="I12" s="8">
        <v>38260</v>
      </c>
      <c r="J12" s="8">
        <v>38442</v>
      </c>
      <c r="K12" s="8">
        <v>38625</v>
      </c>
      <c r="L12" s="8"/>
      <c r="N12" s="8"/>
      <c r="P12" s="8"/>
      <c r="Q12" s="8"/>
      <c r="S12" s="8"/>
      <c r="U12" s="8"/>
      <c r="V12" s="8"/>
      <c r="X12" s="8"/>
    </row>
    <row r="13" spans="1:67" hidden="1" x14ac:dyDescent="0.25">
      <c r="A13" s="1" t="s">
        <v>89</v>
      </c>
      <c r="B13" s="5" t="s">
        <v>90</v>
      </c>
      <c r="C13" s="5" t="s">
        <v>91</v>
      </c>
      <c r="D13" s="7">
        <v>5.25</v>
      </c>
      <c r="E13" s="1">
        <f t="shared" si="0"/>
        <v>2.625</v>
      </c>
      <c r="F13" s="7">
        <v>100</v>
      </c>
      <c r="G13" s="8">
        <v>37169</v>
      </c>
      <c r="H13" s="8">
        <v>37351</v>
      </c>
      <c r="I13" s="8">
        <v>37534</v>
      </c>
      <c r="J13" s="8">
        <v>37716</v>
      </c>
      <c r="K13" s="8">
        <v>37899</v>
      </c>
      <c r="L13" s="8">
        <v>38082</v>
      </c>
      <c r="M13" s="8">
        <v>38265</v>
      </c>
      <c r="N13" s="8">
        <v>38447</v>
      </c>
      <c r="O13" s="8">
        <v>38630</v>
      </c>
    </row>
    <row r="14" spans="1:67" hidden="1" x14ac:dyDescent="0.25">
      <c r="A14" s="1" t="s">
        <v>92</v>
      </c>
      <c r="B14" s="5" t="s">
        <v>93</v>
      </c>
      <c r="C14" s="5" t="s">
        <v>94</v>
      </c>
      <c r="D14" s="7">
        <v>6.75</v>
      </c>
      <c r="E14" s="1">
        <f t="shared" si="0"/>
        <v>3.375</v>
      </c>
      <c r="F14" s="7">
        <v>100</v>
      </c>
      <c r="G14" s="8">
        <v>36832</v>
      </c>
      <c r="H14" s="8">
        <v>37013</v>
      </c>
      <c r="I14" s="8">
        <v>37197</v>
      </c>
      <c r="J14" s="8"/>
    </row>
    <row r="15" spans="1:67" hidden="1" x14ac:dyDescent="0.25">
      <c r="A15" s="1" t="s">
        <v>95</v>
      </c>
      <c r="B15" s="11" t="s">
        <v>96</v>
      </c>
      <c r="C15" s="5" t="s">
        <v>97</v>
      </c>
      <c r="D15" s="7">
        <v>0.875</v>
      </c>
      <c r="E15" s="1">
        <f t="shared" si="0"/>
        <v>0.4375</v>
      </c>
      <c r="F15" s="7">
        <v>100</v>
      </c>
      <c r="G15" s="8">
        <v>44506</v>
      </c>
      <c r="H15" s="8">
        <v>44687</v>
      </c>
      <c r="I15" s="8">
        <v>44871</v>
      </c>
      <c r="J15" s="8">
        <v>45052</v>
      </c>
      <c r="K15" s="8">
        <v>45236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67" ht="15.75" hidden="1" customHeight="1" x14ac:dyDescent="0.25">
      <c r="A16" s="1" t="s">
        <v>98</v>
      </c>
      <c r="B16" s="11" t="s">
        <v>96</v>
      </c>
      <c r="C16" s="5" t="s">
        <v>99</v>
      </c>
      <c r="D16" s="7">
        <v>3.875</v>
      </c>
      <c r="E16" s="1">
        <f t="shared" si="0"/>
        <v>1.9375</v>
      </c>
      <c r="F16" s="7">
        <v>100</v>
      </c>
      <c r="G16" s="8">
        <v>44506</v>
      </c>
      <c r="H16" s="8">
        <v>44687</v>
      </c>
      <c r="I16" s="8">
        <v>44871</v>
      </c>
      <c r="J16" s="8">
        <v>45052</v>
      </c>
      <c r="K16" s="8">
        <v>45236</v>
      </c>
      <c r="L16" s="8">
        <v>45418</v>
      </c>
      <c r="M16" s="8">
        <v>45602</v>
      </c>
      <c r="N16" s="8">
        <v>45783</v>
      </c>
      <c r="O16" s="8">
        <v>45967</v>
      </c>
      <c r="P16" s="8">
        <v>46148</v>
      </c>
      <c r="Q16" s="8">
        <v>46332</v>
      </c>
      <c r="R16" s="8">
        <v>46513</v>
      </c>
      <c r="S16" s="8">
        <v>46697</v>
      </c>
      <c r="T16" s="8">
        <v>46879</v>
      </c>
      <c r="U16" s="8">
        <v>47063</v>
      </c>
      <c r="V16" s="8">
        <v>47244</v>
      </c>
      <c r="W16" s="8">
        <v>47428</v>
      </c>
      <c r="X16" s="8">
        <v>47609</v>
      </c>
      <c r="Y16" s="8">
        <v>47793</v>
      </c>
      <c r="Z16" s="8">
        <v>47974</v>
      </c>
      <c r="AA16" s="8">
        <v>48158</v>
      </c>
      <c r="AB16" s="8">
        <v>48340</v>
      </c>
      <c r="AC16" s="8">
        <v>48524</v>
      </c>
      <c r="AD16" s="8">
        <v>48705</v>
      </c>
      <c r="AE16" s="8">
        <v>48889</v>
      </c>
      <c r="AF16" s="8">
        <v>49070</v>
      </c>
      <c r="AG16" s="8">
        <v>49254</v>
      </c>
      <c r="AH16" s="8">
        <v>49435</v>
      </c>
      <c r="AI16" s="8">
        <v>49619</v>
      </c>
      <c r="AJ16" s="8">
        <v>49801</v>
      </c>
      <c r="AK16" s="8">
        <v>49985</v>
      </c>
      <c r="AL16" s="8">
        <v>50166</v>
      </c>
      <c r="AM16" s="8">
        <v>50350</v>
      </c>
      <c r="AN16" s="8">
        <v>50531</v>
      </c>
      <c r="AO16" s="8">
        <v>50715</v>
      </c>
      <c r="AP16" s="8">
        <v>50896</v>
      </c>
      <c r="AQ16" s="8">
        <v>51080</v>
      </c>
      <c r="AR16" s="8">
        <v>51262</v>
      </c>
      <c r="AS16" s="8">
        <v>51446</v>
      </c>
      <c r="AT16" s="8">
        <v>51627</v>
      </c>
      <c r="AU16" s="8">
        <v>51811</v>
      </c>
      <c r="AV16" s="8">
        <v>51992</v>
      </c>
      <c r="AW16" s="8">
        <v>52176</v>
      </c>
      <c r="AX16" s="8">
        <v>52357</v>
      </c>
      <c r="AY16" s="8">
        <v>52541</v>
      </c>
      <c r="AZ16" s="8">
        <v>52723</v>
      </c>
      <c r="BA16" s="8">
        <v>52907</v>
      </c>
      <c r="BB16" s="8">
        <v>53088</v>
      </c>
      <c r="BC16" s="8">
        <v>53272</v>
      </c>
      <c r="BD16" s="8">
        <v>53453</v>
      </c>
      <c r="BE16" s="8">
        <v>53637</v>
      </c>
      <c r="BF16" s="8">
        <v>53818</v>
      </c>
      <c r="BG16" s="8">
        <v>54002</v>
      </c>
      <c r="BH16" s="8">
        <v>54184</v>
      </c>
      <c r="BI16" s="8">
        <v>54368</v>
      </c>
      <c r="BJ16" s="8">
        <v>54549</v>
      </c>
      <c r="BK16" s="8">
        <v>54733</v>
      </c>
      <c r="BL16" s="8">
        <v>54914</v>
      </c>
      <c r="BM16" s="8">
        <v>55098</v>
      </c>
      <c r="BN16" s="8"/>
    </row>
    <row r="17" spans="1:67" ht="15.75" hidden="1" customHeight="1" x14ac:dyDescent="0.25">
      <c r="A17" s="1" t="s">
        <v>100</v>
      </c>
      <c r="B17" s="5" t="s">
        <v>101</v>
      </c>
      <c r="C17" s="5" t="s">
        <v>102</v>
      </c>
      <c r="D17" s="5">
        <v>5.375</v>
      </c>
      <c r="E17" s="1">
        <f t="shared" si="0"/>
        <v>2.6875</v>
      </c>
      <c r="F17" s="7">
        <v>100</v>
      </c>
      <c r="G17" s="8">
        <v>39428</v>
      </c>
      <c r="H17" s="8">
        <v>39611</v>
      </c>
      <c r="I17" s="8">
        <v>39794</v>
      </c>
      <c r="J17" s="8">
        <v>39976</v>
      </c>
      <c r="K17" s="8">
        <v>40159</v>
      </c>
      <c r="L17" s="8">
        <v>40341</v>
      </c>
      <c r="M17" s="8">
        <v>40524</v>
      </c>
      <c r="N17" s="8">
        <v>40706</v>
      </c>
      <c r="O17" s="8">
        <v>40889</v>
      </c>
      <c r="P17" s="8">
        <v>41072</v>
      </c>
      <c r="Q17" s="8">
        <v>41255</v>
      </c>
      <c r="R17" s="8">
        <v>41437</v>
      </c>
      <c r="S17" s="8">
        <v>41620</v>
      </c>
      <c r="T17" s="8">
        <v>41802</v>
      </c>
      <c r="U17" s="8">
        <v>41985</v>
      </c>
      <c r="V17" s="8">
        <v>42167</v>
      </c>
      <c r="W17" s="8">
        <v>42350</v>
      </c>
      <c r="X17" s="8">
        <v>42533</v>
      </c>
      <c r="Y17" s="8">
        <v>42716</v>
      </c>
      <c r="Z17" s="8"/>
      <c r="AA17" s="8"/>
      <c r="AB17" s="8"/>
      <c r="AC17" s="8"/>
    </row>
    <row r="18" spans="1:67" ht="15.75" hidden="1" customHeight="1" x14ac:dyDescent="0.25">
      <c r="A18" s="1" t="s">
        <v>103</v>
      </c>
      <c r="B18" s="5" t="s">
        <v>104</v>
      </c>
      <c r="C18" s="5" t="s">
        <v>105</v>
      </c>
      <c r="D18" s="7">
        <v>4.625</v>
      </c>
      <c r="E18" s="1">
        <f t="shared" si="0"/>
        <v>2.3125</v>
      </c>
      <c r="F18" s="7">
        <v>100</v>
      </c>
      <c r="G18" s="8">
        <v>37422</v>
      </c>
      <c r="H18" s="9">
        <v>37605</v>
      </c>
      <c r="I18" s="8">
        <v>37787</v>
      </c>
      <c r="J18" s="9">
        <v>37970</v>
      </c>
      <c r="K18" s="8">
        <v>38153</v>
      </c>
      <c r="L18" s="9">
        <v>38336</v>
      </c>
    </row>
    <row r="19" spans="1:67" ht="15.75" hidden="1" customHeight="1" x14ac:dyDescent="0.25">
      <c r="A19" s="1" t="s">
        <v>106</v>
      </c>
      <c r="B19" s="5" t="s">
        <v>107</v>
      </c>
      <c r="C19" s="5" t="s">
        <v>108</v>
      </c>
      <c r="D19" s="7">
        <v>5.625</v>
      </c>
      <c r="E19" s="1">
        <f t="shared" si="0"/>
        <v>2.8125</v>
      </c>
      <c r="F19" s="7">
        <v>100</v>
      </c>
      <c r="G19" s="8">
        <v>37422</v>
      </c>
      <c r="H19" s="9">
        <v>37605</v>
      </c>
      <c r="I19" s="8">
        <v>37787</v>
      </c>
      <c r="J19" s="9">
        <v>37970</v>
      </c>
      <c r="K19" s="8">
        <v>38153</v>
      </c>
      <c r="L19" s="9">
        <v>38336</v>
      </c>
      <c r="M19" s="8">
        <v>38518</v>
      </c>
      <c r="N19" s="9">
        <v>38701</v>
      </c>
      <c r="O19" s="8">
        <v>38883</v>
      </c>
      <c r="P19" s="9">
        <v>39066</v>
      </c>
      <c r="Q19" s="8">
        <v>39248</v>
      </c>
      <c r="R19" s="9">
        <v>39431</v>
      </c>
      <c r="S19" s="8">
        <v>39614</v>
      </c>
      <c r="T19" s="9">
        <v>39797</v>
      </c>
      <c r="U19" s="8">
        <v>39979</v>
      </c>
      <c r="V19" s="9">
        <v>40162</v>
      </c>
      <c r="W19" s="8">
        <v>40344</v>
      </c>
      <c r="X19" s="9">
        <v>40527</v>
      </c>
      <c r="Y19" s="8">
        <v>40709</v>
      </c>
      <c r="Z19" s="9">
        <v>40892</v>
      </c>
      <c r="AA19" s="8"/>
      <c r="AB19" s="9"/>
      <c r="AC19" s="8"/>
      <c r="AD19" s="9"/>
      <c r="AE19" s="8"/>
      <c r="AF19" s="9"/>
      <c r="AG19" s="8"/>
      <c r="AH19" s="9"/>
      <c r="AI19" s="8"/>
      <c r="AJ19" s="9"/>
      <c r="AK19" s="8"/>
      <c r="AL19" s="9"/>
      <c r="AM19" s="8"/>
      <c r="AN19" s="9"/>
      <c r="AO19" s="8"/>
      <c r="AP19" s="9"/>
      <c r="AQ19" s="8"/>
    </row>
    <row r="20" spans="1:67" ht="15.75" hidden="1" customHeight="1" x14ac:dyDescent="0.25">
      <c r="A20" s="1" t="s">
        <v>109</v>
      </c>
      <c r="B20" s="5" t="s">
        <v>110</v>
      </c>
      <c r="C20" s="5" t="s">
        <v>111</v>
      </c>
      <c r="D20" s="5">
        <v>4.375</v>
      </c>
      <c r="E20" s="1">
        <f t="shared" si="0"/>
        <v>2.1875</v>
      </c>
      <c r="F20" s="7">
        <v>100</v>
      </c>
      <c r="G20" s="8">
        <v>37787</v>
      </c>
      <c r="H20" s="9">
        <v>37970</v>
      </c>
      <c r="I20" s="8">
        <v>38153</v>
      </c>
      <c r="J20" s="9">
        <v>38336</v>
      </c>
      <c r="K20" s="8">
        <v>38518</v>
      </c>
      <c r="L20" s="9">
        <v>38701</v>
      </c>
      <c r="M20" s="8">
        <v>38883</v>
      </c>
      <c r="N20" s="9">
        <v>39066</v>
      </c>
      <c r="O20" s="8">
        <v>39248</v>
      </c>
      <c r="P20" s="9">
        <v>39431</v>
      </c>
      <c r="Q20" s="8">
        <v>39614</v>
      </c>
      <c r="R20" s="9">
        <v>39797</v>
      </c>
      <c r="S20" s="8">
        <v>39979</v>
      </c>
      <c r="T20" s="9">
        <v>40162</v>
      </c>
      <c r="U20" s="8">
        <v>40344</v>
      </c>
      <c r="V20" s="9">
        <v>40527</v>
      </c>
      <c r="W20" s="8">
        <v>40709</v>
      </c>
      <c r="X20" s="9">
        <v>40892</v>
      </c>
      <c r="Y20" s="8">
        <v>41075</v>
      </c>
      <c r="Z20" s="9">
        <v>41258</v>
      </c>
      <c r="AA20" s="8"/>
      <c r="AB20" s="9"/>
    </row>
    <row r="21" spans="1:67" ht="15.75" hidden="1" customHeight="1" x14ac:dyDescent="0.25">
      <c r="A21" s="1" t="s">
        <v>112</v>
      </c>
      <c r="B21" s="5" t="s">
        <v>110</v>
      </c>
      <c r="C21" s="5" t="s">
        <v>113</v>
      </c>
      <c r="D21" s="5">
        <v>5.375</v>
      </c>
      <c r="E21" s="1">
        <f t="shared" si="0"/>
        <v>2.6875</v>
      </c>
      <c r="F21" s="7">
        <v>100</v>
      </c>
      <c r="G21" s="8">
        <v>37787</v>
      </c>
      <c r="H21" s="9">
        <v>37970</v>
      </c>
      <c r="I21" s="8">
        <v>38153</v>
      </c>
      <c r="J21" s="9">
        <v>38336</v>
      </c>
      <c r="K21" s="8">
        <v>38518</v>
      </c>
      <c r="L21" s="9">
        <v>38701</v>
      </c>
      <c r="M21" s="8">
        <v>38883</v>
      </c>
      <c r="N21" s="9">
        <v>39066</v>
      </c>
      <c r="O21" s="8">
        <v>39248</v>
      </c>
      <c r="P21" s="9">
        <v>39431</v>
      </c>
      <c r="Q21" s="8">
        <v>39614</v>
      </c>
      <c r="R21" s="9">
        <v>39797</v>
      </c>
      <c r="S21" s="8">
        <v>39979</v>
      </c>
      <c r="T21" s="9">
        <v>40162</v>
      </c>
      <c r="U21" s="8">
        <v>40344</v>
      </c>
      <c r="V21" s="9">
        <v>40527</v>
      </c>
      <c r="W21" s="8">
        <v>40709</v>
      </c>
      <c r="X21" s="9">
        <v>40892</v>
      </c>
      <c r="Y21" s="8">
        <v>41075</v>
      </c>
      <c r="Z21" s="9">
        <v>41258</v>
      </c>
      <c r="AA21" s="9">
        <v>41440</v>
      </c>
      <c r="AB21" s="8">
        <v>41623</v>
      </c>
      <c r="AC21" s="9">
        <v>41805</v>
      </c>
      <c r="AD21" s="8">
        <v>41988</v>
      </c>
      <c r="AE21" s="9">
        <v>42170</v>
      </c>
      <c r="AF21" s="8">
        <v>42353</v>
      </c>
      <c r="AG21" s="9">
        <v>42536</v>
      </c>
      <c r="AH21" s="8">
        <v>42719</v>
      </c>
      <c r="AI21" s="9">
        <v>42901</v>
      </c>
      <c r="AJ21" s="8">
        <v>43084</v>
      </c>
      <c r="AK21" s="9">
        <v>43266</v>
      </c>
      <c r="AL21" s="8">
        <v>43449</v>
      </c>
      <c r="AM21" s="9">
        <v>43631</v>
      </c>
      <c r="AN21" s="8">
        <v>43814</v>
      </c>
      <c r="AO21" s="9">
        <v>43997</v>
      </c>
      <c r="AP21" s="8">
        <v>44180</v>
      </c>
      <c r="AQ21" s="9">
        <v>44362</v>
      </c>
      <c r="AR21" s="8">
        <v>44545</v>
      </c>
      <c r="AS21" s="9">
        <v>44727</v>
      </c>
      <c r="AT21" s="9">
        <v>44910</v>
      </c>
      <c r="AU21" s="8">
        <v>45092</v>
      </c>
      <c r="AV21" s="9">
        <v>45275</v>
      </c>
      <c r="AW21" s="8">
        <v>45458</v>
      </c>
      <c r="AX21" s="9">
        <v>45641</v>
      </c>
      <c r="AY21" s="8">
        <v>45823</v>
      </c>
      <c r="AZ21" s="9">
        <v>46006</v>
      </c>
      <c r="BA21" s="8">
        <v>46188</v>
      </c>
      <c r="BB21" s="9">
        <v>46371</v>
      </c>
      <c r="BC21" s="8">
        <v>46553</v>
      </c>
      <c r="BD21" s="9">
        <v>46736</v>
      </c>
      <c r="BE21" s="8">
        <v>46919</v>
      </c>
      <c r="BF21" s="9">
        <v>47102</v>
      </c>
      <c r="BG21" s="8">
        <v>47284</v>
      </c>
      <c r="BH21" s="9">
        <v>47467</v>
      </c>
      <c r="BI21" s="8">
        <v>47649</v>
      </c>
      <c r="BJ21" s="9">
        <v>47832</v>
      </c>
      <c r="BK21" s="8">
        <v>48014</v>
      </c>
      <c r="BL21" s="9">
        <v>48197</v>
      </c>
      <c r="BM21" s="9">
        <v>48380</v>
      </c>
      <c r="BN21" s="8">
        <v>48563</v>
      </c>
      <c r="BO21" s="9"/>
    </row>
    <row r="22" spans="1:67" ht="15.75" hidden="1" customHeight="1" x14ac:dyDescent="0.25">
      <c r="A22" s="1" t="s">
        <v>114</v>
      </c>
      <c r="B22" s="11" t="s">
        <v>115</v>
      </c>
      <c r="C22" s="11" t="s">
        <v>116</v>
      </c>
      <c r="D22" s="11">
        <v>3.625</v>
      </c>
      <c r="E22" s="1">
        <f t="shared" si="0"/>
        <v>1.8125</v>
      </c>
      <c r="F22" s="7">
        <v>100</v>
      </c>
      <c r="G22" s="8">
        <v>37694</v>
      </c>
      <c r="H22" s="8">
        <v>37878</v>
      </c>
      <c r="I22" s="8">
        <v>38060</v>
      </c>
      <c r="J22" s="8">
        <v>38244</v>
      </c>
      <c r="K22" s="8">
        <v>38425</v>
      </c>
      <c r="L22" s="8">
        <v>38609</v>
      </c>
      <c r="M22" s="8">
        <v>38790</v>
      </c>
      <c r="N22" s="8">
        <v>38974</v>
      </c>
      <c r="O22" s="8">
        <v>39155</v>
      </c>
    </row>
    <row r="23" spans="1:67" ht="15.75" hidden="1" customHeight="1" x14ac:dyDescent="0.25">
      <c r="A23" s="1" t="s">
        <v>117</v>
      </c>
      <c r="B23" s="11" t="s">
        <v>118</v>
      </c>
      <c r="C23" s="11" t="s">
        <v>119</v>
      </c>
      <c r="D23" s="11">
        <v>2.125</v>
      </c>
      <c r="E23" s="1">
        <f t="shared" si="0"/>
        <v>1.0625</v>
      </c>
      <c r="F23" s="7">
        <v>100</v>
      </c>
      <c r="G23" s="8">
        <v>40618</v>
      </c>
      <c r="H23" s="8">
        <v>40802</v>
      </c>
      <c r="I23" s="8">
        <v>40984</v>
      </c>
      <c r="J23" s="8">
        <v>41168</v>
      </c>
      <c r="K23" s="8">
        <v>41349</v>
      </c>
      <c r="L23" s="8"/>
      <c r="M23" s="8"/>
      <c r="N23" s="8"/>
      <c r="O23" s="8"/>
      <c r="P23" s="8"/>
      <c r="Q23" s="8"/>
      <c r="R23" s="8"/>
    </row>
    <row r="24" spans="1:67" ht="15.75" customHeight="1" x14ac:dyDescent="0.25"/>
    <row r="25" spans="1:67" ht="15.75" customHeight="1" x14ac:dyDescent="0.25"/>
    <row r="26" spans="1:67" ht="15.75" customHeight="1" x14ac:dyDescent="0.25"/>
    <row r="27" spans="1:67" ht="15.75" customHeight="1" x14ac:dyDescent="0.25"/>
    <row r="28" spans="1:67" ht="15.75" customHeight="1" x14ac:dyDescent="0.25"/>
    <row r="29" spans="1:67" ht="15.75" customHeight="1" x14ac:dyDescent="0.25"/>
    <row r="30" spans="1:67" ht="15.75" customHeight="1" x14ac:dyDescent="0.25"/>
    <row r="31" spans="1:67" ht="15.75" customHeight="1" x14ac:dyDescent="0.25"/>
    <row r="32" spans="1:6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autoFilter ref="A1:BO23">
    <filterColumn colId="0">
      <filters>
        <filter val="US465410BV92"/>
      </filters>
    </filterColumn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"/>
  <sheetViews>
    <sheetView workbookViewId="0"/>
  </sheetViews>
  <sheetFormatPr defaultColWidth="14.42578125" defaultRowHeight="15" customHeight="1" x14ac:dyDescent="0.25"/>
  <sheetData>
    <row r="1" spans="1:2" x14ac:dyDescent="0.25">
      <c r="A1" s="7" t="s">
        <v>120</v>
      </c>
      <c r="B1" s="12" t="s">
        <v>121</v>
      </c>
    </row>
    <row r="2" spans="1:2" x14ac:dyDescent="0.25">
      <c r="B2" s="12" t="s">
        <v>122</v>
      </c>
    </row>
    <row r="3" spans="1:2" x14ac:dyDescent="0.25">
      <c r="B3" s="12" t="s">
        <v>123</v>
      </c>
    </row>
    <row r="4" spans="1:2" x14ac:dyDescent="0.25">
      <c r="B4" s="12" t="s">
        <v>124</v>
      </c>
    </row>
    <row r="5" spans="1:2" x14ac:dyDescent="0.25">
      <c r="B5" s="12" t="s">
        <v>125</v>
      </c>
    </row>
    <row r="6" spans="1:2" x14ac:dyDescent="0.25">
      <c r="B6" s="12" t="s">
        <v>126</v>
      </c>
    </row>
    <row r="7" spans="1:2" x14ac:dyDescent="0.25">
      <c r="B7" s="12" t="s">
        <v>127</v>
      </c>
    </row>
    <row r="8" spans="1:2" x14ac:dyDescent="0.25">
      <c r="B8" s="12" t="s">
        <v>128</v>
      </c>
    </row>
    <row r="9" spans="1:2" x14ac:dyDescent="0.25">
      <c r="B9" s="12" t="s">
        <v>129</v>
      </c>
    </row>
    <row r="10" spans="1:2" x14ac:dyDescent="0.25">
      <c r="B10" s="1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Belmudes</dc:creator>
  <cp:lastModifiedBy>Angelo Avelar Hermeto Mendes</cp:lastModifiedBy>
  <dcterms:created xsi:type="dcterms:W3CDTF">2024-02-12T21:03:13Z</dcterms:created>
  <dcterms:modified xsi:type="dcterms:W3CDTF">2024-02-22T19:15:45Z</dcterms:modified>
</cp:coreProperties>
</file>